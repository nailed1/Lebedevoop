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Programming-C\OOP_2semestr\LineList\"/>
    </mc:Choice>
  </mc:AlternateContent>
  <xr:revisionPtr revIDLastSave="0" documentId="13_ncr:1_{AC4A9F40-ACDD-4C59-A077-B2C0DCEBC35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2" i="1"/>
  <c r="L8" i="1"/>
  <c r="O8" i="1" s="1"/>
  <c r="K8" i="1"/>
  <c r="L7" i="1"/>
  <c r="O7" i="1" s="1"/>
  <c r="K7" i="1"/>
  <c r="L6" i="1"/>
  <c r="O6" i="1" s="1"/>
  <c r="K6" i="1"/>
  <c r="L5" i="1"/>
  <c r="O5" i="1" s="1"/>
  <c r="K5" i="1"/>
  <c r="L4" i="1"/>
  <c r="O4" i="1" s="1"/>
  <c r="K4" i="1"/>
  <c r="L3" i="1"/>
  <c r="O3" i="1" s="1"/>
  <c r="K3" i="1"/>
  <c r="O2" i="1"/>
  <c r="L2" i="1"/>
  <c r="K2" i="1"/>
  <c r="N2" i="1" l="1"/>
  <c r="N3" i="1"/>
  <c r="N4" i="1"/>
  <c r="N5" i="1"/>
  <c r="N6" i="1"/>
  <c r="N7" i="1"/>
  <c r="N8" i="1"/>
  <c r="P2" i="1" l="1"/>
  <c r="Q3" i="1" l="1"/>
  <c r="Q8" i="1"/>
  <c r="Q5" i="1"/>
  <c r="Q7" i="1"/>
  <c r="Q6" i="1"/>
  <c r="Q2" i="1"/>
  <c r="Q4" i="1"/>
</calcChain>
</file>

<file path=xl/sharedStrings.xml><?xml version="1.0" encoding="utf-8"?>
<sst xmlns="http://schemas.openxmlformats.org/spreadsheetml/2006/main" count="12" uniqueCount="11">
  <si>
    <t>N</t>
  </si>
  <si>
    <t>Ansewer</t>
  </si>
  <si>
    <t>Time</t>
  </si>
  <si>
    <t>g(N)</t>
  </si>
  <si>
    <t xml:space="preserve">f(N) </t>
  </si>
  <si>
    <t>Числитель</t>
  </si>
  <si>
    <t>Знаменатель</t>
  </si>
  <si>
    <t>k</t>
  </si>
  <si>
    <t>Теорическое время (f(N)/k):</t>
  </si>
  <si>
    <t>Алгоритм использует циклический список поэтому в функции delete нету цикла. Скорость алгоритма будет O(n*(k-1)) отбрасываем константу и получаем O(n)</t>
  </si>
  <si>
    <t>Видим на графике что теорическое время совпало с практическим значит алгоритм 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</si>
</sst>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Лист1!$L$1</c:f>
              <c:strCache>
                <c:ptCount val="1"/>
                <c:pt idx="0">
                  <c:v>g(N)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Лист1!$K$2:$K$8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Лист1!$L$2:$L$8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5.0000000000000001E-3</c:v>
                </c:pt>
                <c:pt idx="5">
                  <c:v>2.9000000000000001E-2</c:v>
                </c:pt>
                <c:pt idx="6">
                  <c:v>5.7000000000000002E-2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1-4713-8F5C-D05E3429C059}"/>
            </c:ext>
          </c:extLst>
        </c:ser>
        <c:ser>
          <c:idx val="1"/>
          <c:order val="1"/>
          <c:tx>
            <c:v>f(N)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Лист1!$K$2:$K$8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Лист1!$Q$2:$Q$8</c:f>
              <c:numCache>
                <c:formatCode>General</c:formatCode>
                <c:ptCount val="7"/>
                <c:pt idx="0">
                  <c:v>5.712898751733704E-5</c:v>
                </c:pt>
                <c:pt idx="1">
                  <c:v>2.856449375866852E-4</c:v>
                </c:pt>
                <c:pt idx="2">
                  <c:v>5.712898751733704E-4</c:v>
                </c:pt>
                <c:pt idx="3">
                  <c:v>2.856449375866852E-3</c:v>
                </c:pt>
                <c:pt idx="4">
                  <c:v>5.712898751733704E-3</c:v>
                </c:pt>
                <c:pt idx="5">
                  <c:v>2.856449375866852E-2</c:v>
                </c:pt>
                <c:pt idx="6">
                  <c:v>5.712898751733704E-2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91-4713-8F5C-D05E3429C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778832"/>
        <c:axId val="1692997568"/>
      </c:scatterChart>
      <c:valAx>
        <c:axId val="169677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997568"/>
        <c:crosses val="autoZero"/>
        <c:crossBetween val="midCat"/>
      </c:valAx>
      <c:valAx>
        <c:axId val="16929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677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323850</xdr:colOff>
      <xdr:row>0</xdr:row>
      <xdr:rowOff>0</xdr:rowOff>
    </xdr:from>
    <xdr:to>
      <xdr:col>24</xdr:col>
      <xdr:colOff>134641</xdr:colOff>
      <xdr:row>22</xdr:row>
      <xdr:rowOff>10557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1417D2-12ED-46DF-8BC3-E4FDB85EE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75" y="0"/>
          <a:ext cx="2858791" cy="4201557"/>
        </a:xfrm>
        <a:prstGeom prst="rect">
          <a:avLst/>
        </a:prstGeom>
      </xdr:spPr>
    </xdr:pic>
    <xdr:clientData/>
  </xdr:twoCellAnchor>
  <xdr:twoCellAnchor>
    <xdr:from>
      <xdr:col>9</xdr:col>
      <xdr:colOff>581025</xdr:colOff>
      <xdr:row>9</xdr:row>
      <xdr:rowOff>14286</xdr:rowOff>
    </xdr:from>
    <xdr:to>
      <xdr:col>17</xdr:col>
      <xdr:colOff>38101</xdr:colOff>
      <xdr:row>28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364B7BE-2C38-467B-93D7-5A48C41A3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F24" sqref="F24"/>
    </sheetView>
  </sheetViews>
  <sheetFormatPr defaultRowHeight="15" x14ac:dyDescent="0.25"/>
  <cols>
    <col min="14" max="14" width="10.5703125" customWidth="1"/>
    <col min="15" max="15" width="13.5703125" customWidth="1"/>
    <col min="17" max="17" width="27" customWidth="1"/>
  </cols>
  <sheetData>
    <row r="1" spans="1:17" x14ac:dyDescent="0.25">
      <c r="A1" s="2" t="s">
        <v>9</v>
      </c>
      <c r="B1" s="2"/>
      <c r="C1" s="2"/>
      <c r="D1" s="2"/>
      <c r="F1" t="s">
        <v>0</v>
      </c>
      <c r="G1" t="s">
        <v>1</v>
      </c>
      <c r="H1" t="s">
        <v>2</v>
      </c>
      <c r="K1" t="s">
        <v>0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</row>
    <row r="2" spans="1:17" x14ac:dyDescent="0.25">
      <c r="A2" s="2"/>
      <c r="B2" s="2"/>
      <c r="C2" s="2"/>
      <c r="D2" s="2"/>
      <c r="F2">
        <v>1000</v>
      </c>
      <c r="G2">
        <v>977</v>
      </c>
      <c r="H2">
        <v>0</v>
      </c>
      <c r="K2">
        <f>F2</f>
        <v>1000</v>
      </c>
      <c r="L2">
        <f>H2</f>
        <v>0</v>
      </c>
      <c r="M2">
        <f>K2</f>
        <v>1000</v>
      </c>
      <c r="N2">
        <f>L2*M2</f>
        <v>0</v>
      </c>
      <c r="O2">
        <f>L2^2</f>
        <v>0</v>
      </c>
      <c r="P2">
        <f>SUM(N2:N8)/SUM(O2:O8)</f>
        <v>17504248.604030102</v>
      </c>
      <c r="Q2">
        <f>M2/$P$2</f>
        <v>5.712898751733704E-5</v>
      </c>
    </row>
    <row r="3" spans="1:17" x14ac:dyDescent="0.25">
      <c r="A3" s="2"/>
      <c r="B3" s="2"/>
      <c r="C3" s="2"/>
      <c r="D3" s="2"/>
      <c r="F3">
        <v>5000</v>
      </c>
      <c r="G3">
        <v>1809</v>
      </c>
      <c r="H3">
        <v>0</v>
      </c>
      <c r="K3">
        <f t="shared" ref="K3:K8" si="0">F3</f>
        <v>5000</v>
      </c>
      <c r="L3">
        <f t="shared" ref="L3:L8" si="1">H3</f>
        <v>0</v>
      </c>
      <c r="M3">
        <f t="shared" ref="M3:M8" si="2">K3</f>
        <v>5000</v>
      </c>
      <c r="N3">
        <f t="shared" ref="N3:N8" si="3">L3*M3</f>
        <v>0</v>
      </c>
      <c r="O3">
        <f t="shared" ref="O3:O8" si="4">L3^2</f>
        <v>0</v>
      </c>
      <c r="Q3">
        <f t="shared" ref="Q3:Q8" si="5">M3/$P$2</f>
        <v>2.856449375866852E-4</v>
      </c>
    </row>
    <row r="4" spans="1:17" x14ac:dyDescent="0.25">
      <c r="A4" s="2"/>
      <c r="B4" s="2"/>
      <c r="C4" s="2"/>
      <c r="D4" s="2"/>
      <c r="F4">
        <v>10000</v>
      </c>
      <c r="G4">
        <v>3617</v>
      </c>
      <c r="H4">
        <v>0</v>
      </c>
      <c r="K4">
        <f t="shared" si="0"/>
        <v>10000</v>
      </c>
      <c r="L4">
        <f t="shared" si="1"/>
        <v>0</v>
      </c>
      <c r="M4">
        <f t="shared" si="2"/>
        <v>10000</v>
      </c>
      <c r="N4">
        <f t="shared" si="3"/>
        <v>0</v>
      </c>
      <c r="O4">
        <f t="shared" si="4"/>
        <v>0</v>
      </c>
      <c r="Q4">
        <f t="shared" si="5"/>
        <v>5.712898751733704E-4</v>
      </c>
    </row>
    <row r="5" spans="1:17" x14ac:dyDescent="0.25">
      <c r="A5" s="2"/>
      <c r="B5" s="2"/>
      <c r="C5" s="2"/>
      <c r="D5" s="2"/>
      <c r="F5">
        <v>50000</v>
      </c>
      <c r="G5">
        <v>34465</v>
      </c>
      <c r="H5">
        <v>2E-3</v>
      </c>
      <c r="K5">
        <f t="shared" si="0"/>
        <v>50000</v>
      </c>
      <c r="L5">
        <f t="shared" si="1"/>
        <v>2E-3</v>
      </c>
      <c r="M5">
        <f t="shared" si="2"/>
        <v>50000</v>
      </c>
      <c r="N5">
        <f t="shared" si="3"/>
        <v>100</v>
      </c>
      <c r="O5">
        <f t="shared" si="4"/>
        <v>3.9999999999999998E-6</v>
      </c>
      <c r="Q5">
        <f t="shared" si="5"/>
        <v>2.856449375866852E-3</v>
      </c>
    </row>
    <row r="6" spans="1:17" x14ac:dyDescent="0.25">
      <c r="A6" s="2"/>
      <c r="B6" s="2"/>
      <c r="C6" s="2"/>
      <c r="D6" s="2"/>
      <c r="F6">
        <v>100000</v>
      </c>
      <c r="G6">
        <v>68929</v>
      </c>
      <c r="H6">
        <v>5.0000000000000001E-3</v>
      </c>
      <c r="K6">
        <f t="shared" si="0"/>
        <v>100000</v>
      </c>
      <c r="L6">
        <f t="shared" si="1"/>
        <v>5.0000000000000001E-3</v>
      </c>
      <c r="M6">
        <f t="shared" si="2"/>
        <v>100000</v>
      </c>
      <c r="N6">
        <f t="shared" si="3"/>
        <v>500</v>
      </c>
      <c r="O6">
        <f t="shared" si="4"/>
        <v>2.5000000000000001E-5</v>
      </c>
      <c r="Q6">
        <f t="shared" si="5"/>
        <v>5.712898751733704E-3</v>
      </c>
    </row>
    <row r="7" spans="1:17" x14ac:dyDescent="0.25">
      <c r="A7" s="2"/>
      <c r="B7" s="2"/>
      <c r="C7" s="2"/>
      <c r="D7" s="2"/>
      <c r="F7">
        <v>500000</v>
      </c>
      <c r="G7">
        <v>475713</v>
      </c>
      <c r="H7">
        <v>2.9000000000000001E-2</v>
      </c>
      <c r="K7">
        <f t="shared" si="0"/>
        <v>500000</v>
      </c>
      <c r="L7">
        <f t="shared" si="1"/>
        <v>2.9000000000000001E-2</v>
      </c>
      <c r="M7">
        <f t="shared" si="2"/>
        <v>500000</v>
      </c>
      <c r="N7">
        <f t="shared" si="3"/>
        <v>14500</v>
      </c>
      <c r="O7">
        <f t="shared" si="4"/>
        <v>8.4100000000000006E-4</v>
      </c>
      <c r="Q7">
        <f t="shared" si="5"/>
        <v>2.856449375866852E-2</v>
      </c>
    </row>
    <row r="8" spans="1:17" x14ac:dyDescent="0.25">
      <c r="F8">
        <v>1000000</v>
      </c>
      <c r="G8">
        <v>951425</v>
      </c>
      <c r="H8">
        <v>5.7000000000000002E-2</v>
      </c>
      <c r="K8">
        <f t="shared" si="0"/>
        <v>1000000</v>
      </c>
      <c r="L8">
        <f t="shared" si="1"/>
        <v>5.7000000000000002E-2</v>
      </c>
      <c r="M8">
        <f t="shared" si="2"/>
        <v>1000000</v>
      </c>
      <c r="N8">
        <f t="shared" si="3"/>
        <v>57000</v>
      </c>
      <c r="O8">
        <f t="shared" si="4"/>
        <v>3.2490000000000002E-3</v>
      </c>
      <c r="Q8">
        <f t="shared" si="5"/>
        <v>5.712898751733704E-2</v>
      </c>
    </row>
    <row r="30" spans="10:17" x14ac:dyDescent="0.25">
      <c r="J30" s="1" t="s">
        <v>10</v>
      </c>
      <c r="K30" s="1"/>
      <c r="L30" s="1"/>
      <c r="M30" s="1"/>
      <c r="N30" s="1"/>
      <c r="O30" s="1"/>
      <c r="P30" s="1"/>
      <c r="Q30" s="1"/>
    </row>
  </sheetData>
  <mergeCells count="2">
    <mergeCell ref="A1:D7"/>
    <mergeCell ref="J30:Q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2026-03-29T13:30:29Z</dcterms:modified>
</cp:coreProperties>
</file>